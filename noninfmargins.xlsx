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jv610/Documents/GitHub/eggSim/"/>
    </mc:Choice>
  </mc:AlternateContent>
  <xr:revisionPtr revIDLastSave="0" documentId="13_ncr:1_{BB7B024E-3945-FB42-AA67-EB864FD4F989}" xr6:coauthVersionLast="47" xr6:coauthVersionMax="47" xr10:uidLastSave="{00000000-0000-0000-0000-000000000000}"/>
  <bookViews>
    <workbookView xWindow="960" yWindow="500" windowWidth="31740" windowHeight="22960" xr2:uid="{00000000-000D-0000-FFFF-FFFF00000000}"/>
  </bookViews>
  <sheets>
    <sheet name="Sheet1" sheetId="1" r:id="rId1"/>
  </sheets>
  <definedNames>
    <definedName name="_xlnm._FilterDatabase" localSheetId="0" hidden="1">Sheet1!$A$1:$H$48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7" i="1"/>
  <c r="I25" i="1"/>
  <c r="I23" i="1"/>
  <c r="I21" i="1"/>
  <c r="I18" i="1"/>
  <c r="I15" i="1"/>
  <c r="I12" i="1"/>
  <c r="I9" i="1"/>
  <c r="I3" i="1"/>
  <c r="I6" i="1"/>
</calcChain>
</file>

<file path=xl/sharedStrings.xml><?xml version="1.0" encoding="utf-8"?>
<sst xmlns="http://schemas.openxmlformats.org/spreadsheetml/2006/main" count="149" uniqueCount="16">
  <si>
    <t>parasite</t>
  </si>
  <si>
    <t>drug</t>
  </si>
  <si>
    <t>Effort</t>
  </si>
  <si>
    <t>endemicity</t>
  </si>
  <si>
    <t>SampleSize</t>
  </si>
  <si>
    <t>NIM</t>
  </si>
  <si>
    <t>Efficacy</t>
  </si>
  <si>
    <t>LowerThreshold</t>
  </si>
  <si>
    <t>ascaris</t>
  </si>
  <si>
    <t>ALB</t>
  </si>
  <si>
    <t>Easy</t>
  </si>
  <si>
    <t>Moderate</t>
  </si>
  <si>
    <t>Hard</t>
  </si>
  <si>
    <t>MEB</t>
  </si>
  <si>
    <t>hookworm</t>
  </si>
  <si>
    <t>trichuris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</si>
</sst>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27" zoomScale="170" zoomScaleNormal="170" workbookViewId="0">
      <selection activeCell="I32" sqref="I32:I47"/>
    </sheetView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">
      <c r="A2" t="s">
        <v>8</v>
      </c>
      <c r="B2" t="s">
        <v>9</v>
      </c>
      <c r="C2" t="s">
        <v>10</v>
      </c>
      <c r="D2">
        <v>15</v>
      </c>
      <c r="E2">
        <v>250</v>
      </c>
      <c r="F2">
        <v>5.5805615275023018E-3</v>
      </c>
      <c r="G2">
        <v>0.99900000000000011</v>
      </c>
      <c r="H2">
        <v>0.99341943847249781</v>
      </c>
    </row>
    <row r="3" spans="1:9" x14ac:dyDescent="0.2">
      <c r="A3" t="s">
        <v>8</v>
      </c>
      <c r="B3" t="s">
        <v>9</v>
      </c>
      <c r="C3" t="s">
        <v>10</v>
      </c>
      <c r="D3">
        <v>35</v>
      </c>
      <c r="E3">
        <v>100</v>
      </c>
      <c r="F3">
        <v>5.2532763941951976E-3</v>
      </c>
      <c r="G3">
        <v>0.99900000000000011</v>
      </c>
      <c r="H3">
        <v>0.99374672360580496</v>
      </c>
      <c r="I3">
        <f>AVERAGE(H2:H4)</f>
        <v>0.96518657420215515</v>
      </c>
    </row>
    <row r="4" spans="1:9" x14ac:dyDescent="0.2">
      <c r="A4" t="s">
        <v>8</v>
      </c>
      <c r="B4" t="s">
        <v>13</v>
      </c>
      <c r="C4" t="s">
        <v>10</v>
      </c>
      <c r="D4">
        <v>5</v>
      </c>
      <c r="E4">
        <v>500</v>
      </c>
      <c r="F4">
        <v>7.1606439471837577E-2</v>
      </c>
      <c r="G4">
        <v>0.98</v>
      </c>
      <c r="H4">
        <v>0.90839356052816245</v>
      </c>
    </row>
    <row r="5" spans="1:9" x14ac:dyDescent="0.2">
      <c r="A5" t="s">
        <v>8</v>
      </c>
      <c r="B5" t="s">
        <v>13</v>
      </c>
      <c r="C5" t="s">
        <v>10</v>
      </c>
      <c r="D5">
        <v>15</v>
      </c>
      <c r="E5">
        <v>250</v>
      </c>
      <c r="F5">
        <v>7.3439174303108562E-2</v>
      </c>
      <c r="G5">
        <v>0.98</v>
      </c>
      <c r="H5">
        <v>0.90656082569689145</v>
      </c>
    </row>
    <row r="6" spans="1:9" x14ac:dyDescent="0.2">
      <c r="A6" t="s">
        <v>8</v>
      </c>
      <c r="B6" t="s">
        <v>13</v>
      </c>
      <c r="C6" t="s">
        <v>10</v>
      </c>
      <c r="D6">
        <v>35</v>
      </c>
      <c r="E6">
        <v>100</v>
      </c>
      <c r="F6">
        <v>7.4458571732720288E-2</v>
      </c>
      <c r="G6">
        <v>0.98</v>
      </c>
      <c r="H6">
        <v>0.90554142826727968</v>
      </c>
      <c r="I6">
        <f>AVERAGE(H5:H7)</f>
        <v>0.89162129233124743</v>
      </c>
    </row>
    <row r="7" spans="1:9" x14ac:dyDescent="0.2">
      <c r="A7" t="s">
        <v>14</v>
      </c>
      <c r="B7" t="s">
        <v>9</v>
      </c>
      <c r="C7" t="s">
        <v>10</v>
      </c>
      <c r="D7">
        <v>5</v>
      </c>
      <c r="E7">
        <v>500</v>
      </c>
      <c r="F7">
        <v>9.9238376970428865E-2</v>
      </c>
      <c r="G7">
        <v>0.96200000000000008</v>
      </c>
      <c r="H7">
        <v>0.86276162302957116</v>
      </c>
    </row>
    <row r="8" spans="1:9" x14ac:dyDescent="0.2">
      <c r="A8" t="s">
        <v>14</v>
      </c>
      <c r="B8" t="s">
        <v>9</v>
      </c>
      <c r="C8" t="s">
        <v>10</v>
      </c>
      <c r="D8">
        <v>15</v>
      </c>
      <c r="E8">
        <v>250</v>
      </c>
      <c r="F8">
        <v>8.0489963124454639E-2</v>
      </c>
      <c r="G8">
        <v>0.96200000000000008</v>
      </c>
      <c r="H8">
        <v>0.88151003687554541</v>
      </c>
    </row>
    <row r="9" spans="1:9" x14ac:dyDescent="0.2">
      <c r="A9" t="s">
        <v>14</v>
      </c>
      <c r="B9" t="s">
        <v>9</v>
      </c>
      <c r="C9" t="s">
        <v>10</v>
      </c>
      <c r="D9">
        <v>35</v>
      </c>
      <c r="E9">
        <v>100</v>
      </c>
      <c r="F9">
        <v>8.9118604071704438E-2</v>
      </c>
      <c r="G9">
        <v>0.96200000000000008</v>
      </c>
      <c r="H9">
        <v>0.87288139592829561</v>
      </c>
      <c r="I9">
        <f>AVERAGE(H8:H10)</f>
        <v>0.72668539358223139</v>
      </c>
    </row>
    <row r="10" spans="1:9" x14ac:dyDescent="0.2">
      <c r="A10" t="s">
        <v>14</v>
      </c>
      <c r="B10" t="s">
        <v>13</v>
      </c>
      <c r="C10" t="s">
        <v>10</v>
      </c>
      <c r="D10">
        <v>5</v>
      </c>
      <c r="E10">
        <v>500</v>
      </c>
      <c r="F10">
        <v>0.38033525205714702</v>
      </c>
      <c r="G10">
        <v>0.80599999999999994</v>
      </c>
      <c r="H10">
        <v>0.42566474794285292</v>
      </c>
    </row>
    <row r="11" spans="1:9" x14ac:dyDescent="0.2">
      <c r="A11" t="s">
        <v>14</v>
      </c>
      <c r="B11" t="s">
        <v>13</v>
      </c>
      <c r="C11" t="s">
        <v>10</v>
      </c>
      <c r="D11">
        <v>15</v>
      </c>
      <c r="E11">
        <v>250</v>
      </c>
      <c r="F11">
        <v>0.39955886519030559</v>
      </c>
      <c r="G11">
        <v>0.80599999999999994</v>
      </c>
      <c r="H11">
        <v>0.40644113480969429</v>
      </c>
    </row>
    <row r="12" spans="1:9" x14ac:dyDescent="0.2">
      <c r="A12" t="s">
        <v>14</v>
      </c>
      <c r="B12" t="s">
        <v>13</v>
      </c>
      <c r="C12" t="s">
        <v>10</v>
      </c>
      <c r="D12">
        <v>35</v>
      </c>
      <c r="E12">
        <v>100</v>
      </c>
      <c r="F12">
        <v>0.42553853149216919</v>
      </c>
      <c r="G12">
        <v>0.80599999999999994</v>
      </c>
      <c r="H12">
        <v>0.38046146850783069</v>
      </c>
      <c r="I12">
        <f>AVERAGE(H11:H13)</f>
        <v>0.29101968264715938</v>
      </c>
    </row>
    <row r="13" spans="1:9" x14ac:dyDescent="0.2">
      <c r="A13" t="s">
        <v>15</v>
      </c>
      <c r="B13" t="s">
        <v>9</v>
      </c>
      <c r="C13" t="s">
        <v>10</v>
      </c>
      <c r="D13">
        <v>5</v>
      </c>
      <c r="E13">
        <v>500</v>
      </c>
      <c r="F13">
        <v>0.55884355537604691</v>
      </c>
      <c r="G13">
        <v>0.64500000000000002</v>
      </c>
      <c r="H13">
        <v>8.615644462395311E-2</v>
      </c>
    </row>
    <row r="14" spans="1:9" x14ac:dyDescent="0.2">
      <c r="A14" t="s">
        <v>15</v>
      </c>
      <c r="B14" t="s">
        <v>9</v>
      </c>
      <c r="C14" t="s">
        <v>10</v>
      </c>
      <c r="D14">
        <v>15</v>
      </c>
      <c r="E14">
        <v>250</v>
      </c>
      <c r="F14">
        <v>0.57044838611674253</v>
      </c>
      <c r="G14">
        <v>0.64500000000000002</v>
      </c>
      <c r="H14">
        <v>7.4551613883257484E-2</v>
      </c>
    </row>
    <row r="15" spans="1:9" x14ac:dyDescent="0.2">
      <c r="A15" t="s">
        <v>15</v>
      </c>
      <c r="B15" t="s">
        <v>9</v>
      </c>
      <c r="C15" t="s">
        <v>10</v>
      </c>
      <c r="D15">
        <v>35</v>
      </c>
      <c r="E15">
        <v>100</v>
      </c>
      <c r="F15">
        <v>0.59383346328916464</v>
      </c>
      <c r="G15">
        <v>0.64500000000000002</v>
      </c>
      <c r="H15">
        <v>5.1166536710835382E-2</v>
      </c>
      <c r="I15">
        <f>AVERAGE(H14:H16)</f>
        <v>5.4056077359365982E-2</v>
      </c>
    </row>
    <row r="16" spans="1:9" x14ac:dyDescent="0.2">
      <c r="A16" t="s">
        <v>15</v>
      </c>
      <c r="B16" t="s">
        <v>13</v>
      </c>
      <c r="C16" t="s">
        <v>10</v>
      </c>
      <c r="D16">
        <v>5</v>
      </c>
      <c r="E16">
        <v>500</v>
      </c>
      <c r="F16">
        <v>0.59054991851599492</v>
      </c>
      <c r="G16">
        <v>0.627</v>
      </c>
      <c r="H16">
        <v>3.6450081484005081E-2</v>
      </c>
    </row>
    <row r="17" spans="1:9" x14ac:dyDescent="0.2">
      <c r="A17" t="s">
        <v>15</v>
      </c>
      <c r="B17" t="s">
        <v>13</v>
      </c>
      <c r="C17" t="s">
        <v>10</v>
      </c>
      <c r="D17">
        <v>15</v>
      </c>
      <c r="E17">
        <v>250</v>
      </c>
      <c r="F17">
        <v>0.59456778256335374</v>
      </c>
      <c r="G17">
        <v>0.627</v>
      </c>
      <c r="H17">
        <v>3.243221743664626E-2</v>
      </c>
    </row>
    <row r="18" spans="1:9" x14ac:dyDescent="0.2">
      <c r="A18" t="s">
        <v>15</v>
      </c>
      <c r="B18" t="s">
        <v>13</v>
      </c>
      <c r="C18" t="s">
        <v>10</v>
      </c>
      <c r="D18">
        <v>35</v>
      </c>
      <c r="E18">
        <v>100</v>
      </c>
      <c r="F18">
        <v>0.63191136432227202</v>
      </c>
      <c r="G18">
        <v>0.627</v>
      </c>
      <c r="H18">
        <v>-4.911364322272016E-3</v>
      </c>
      <c r="I18">
        <f>AVERAGE(H17:H19)</f>
        <v>0.34165101168282214</v>
      </c>
    </row>
    <row r="19" spans="1:9" x14ac:dyDescent="0.2">
      <c r="A19" t="s">
        <v>8</v>
      </c>
      <c r="B19" t="s">
        <v>9</v>
      </c>
      <c r="C19" t="s">
        <v>12</v>
      </c>
      <c r="D19">
        <v>35</v>
      </c>
      <c r="E19">
        <v>500</v>
      </c>
      <c r="F19">
        <v>1.5678180659080131E-3</v>
      </c>
      <c r="G19">
        <v>0.99900000000000011</v>
      </c>
      <c r="H19">
        <v>0.99743218193409211</v>
      </c>
    </row>
    <row r="20" spans="1:9" x14ac:dyDescent="0.2">
      <c r="A20" t="s">
        <v>8</v>
      </c>
      <c r="B20" t="s">
        <v>9</v>
      </c>
      <c r="C20" t="s">
        <v>12</v>
      </c>
      <c r="D20">
        <v>65</v>
      </c>
      <c r="E20">
        <v>250</v>
      </c>
      <c r="F20">
        <v>1.391445061692913E-3</v>
      </c>
      <c r="G20">
        <v>0.99900000000000011</v>
      </c>
      <c r="H20">
        <v>0.99760855493830725</v>
      </c>
    </row>
    <row r="21" spans="1:9" x14ac:dyDescent="0.2">
      <c r="A21" t="s">
        <v>8</v>
      </c>
      <c r="B21" t="s">
        <v>13</v>
      </c>
      <c r="C21" t="s">
        <v>12</v>
      </c>
      <c r="D21">
        <v>35</v>
      </c>
      <c r="E21">
        <v>500</v>
      </c>
      <c r="F21">
        <v>2.4958020626604498E-2</v>
      </c>
      <c r="G21">
        <v>0.98</v>
      </c>
      <c r="H21">
        <v>0.95504197937339552</v>
      </c>
      <c r="I21">
        <f>AVERAGE(H20:H22)</f>
        <v>0.96989273720134683</v>
      </c>
    </row>
    <row r="22" spans="1:9" x14ac:dyDescent="0.2">
      <c r="A22" t="s">
        <v>8</v>
      </c>
      <c r="B22" t="s">
        <v>13</v>
      </c>
      <c r="C22" t="s">
        <v>12</v>
      </c>
      <c r="D22">
        <v>65</v>
      </c>
      <c r="E22">
        <v>250</v>
      </c>
      <c r="F22">
        <v>2.297232270766212E-2</v>
      </c>
      <c r="G22">
        <v>0.98</v>
      </c>
      <c r="H22">
        <v>0.95702767729233784</v>
      </c>
    </row>
    <row r="23" spans="1:9" x14ac:dyDescent="0.2">
      <c r="A23" t="s">
        <v>14</v>
      </c>
      <c r="B23" t="s">
        <v>9</v>
      </c>
      <c r="C23" t="s">
        <v>12</v>
      </c>
      <c r="D23">
        <v>35</v>
      </c>
      <c r="E23">
        <v>500</v>
      </c>
      <c r="F23">
        <v>3.1095747560677772E-2</v>
      </c>
      <c r="G23">
        <v>0.96200000000000008</v>
      </c>
      <c r="H23">
        <v>0.93090425243932229</v>
      </c>
      <c r="I23">
        <f>AVERAGE(H23:H24)</f>
        <v>0.93184113301053517</v>
      </c>
    </row>
    <row r="24" spans="1:9" x14ac:dyDescent="0.2">
      <c r="A24" t="s">
        <v>14</v>
      </c>
      <c r="B24" t="s">
        <v>9</v>
      </c>
      <c r="C24" t="s">
        <v>12</v>
      </c>
      <c r="D24">
        <v>65</v>
      </c>
      <c r="E24">
        <v>250</v>
      </c>
      <c r="F24">
        <v>2.922198641825214E-2</v>
      </c>
      <c r="G24">
        <v>0.96200000000000008</v>
      </c>
      <c r="H24">
        <v>0.93277801358174794</v>
      </c>
    </row>
    <row r="25" spans="1:9" x14ac:dyDescent="0.2">
      <c r="A25" t="s">
        <v>14</v>
      </c>
      <c r="B25" t="s">
        <v>13</v>
      </c>
      <c r="C25" t="s">
        <v>12</v>
      </c>
      <c r="D25">
        <v>35</v>
      </c>
      <c r="E25">
        <v>500</v>
      </c>
      <c r="F25">
        <v>0.14956864329691791</v>
      </c>
      <c r="G25">
        <v>0.80599999999999994</v>
      </c>
      <c r="H25">
        <v>0.65643135670308195</v>
      </c>
      <c r="I25">
        <f>AVERAGE(H25:H26)</f>
        <v>0.66084509852497553</v>
      </c>
    </row>
    <row r="26" spans="1:9" x14ac:dyDescent="0.2">
      <c r="A26" t="s">
        <v>14</v>
      </c>
      <c r="B26" t="s">
        <v>13</v>
      </c>
      <c r="C26" t="s">
        <v>12</v>
      </c>
      <c r="D26">
        <v>65</v>
      </c>
      <c r="E26">
        <v>250</v>
      </c>
      <c r="F26">
        <v>0.1407411596531308</v>
      </c>
      <c r="G26">
        <v>0.80599999999999994</v>
      </c>
      <c r="H26">
        <v>0.66525884034686911</v>
      </c>
    </row>
    <row r="27" spans="1:9" x14ac:dyDescent="0.2">
      <c r="A27" t="s">
        <v>15</v>
      </c>
      <c r="B27" t="s">
        <v>9</v>
      </c>
      <c r="C27" t="s">
        <v>12</v>
      </c>
      <c r="D27">
        <v>35</v>
      </c>
      <c r="E27">
        <v>500</v>
      </c>
      <c r="F27">
        <v>0.21521868865669261</v>
      </c>
      <c r="G27">
        <v>0.64500000000000002</v>
      </c>
      <c r="H27">
        <v>0.42978131134330738</v>
      </c>
      <c r="I27">
        <f>AVERAGE(H27:H28)</f>
        <v>0.43600372885004757</v>
      </c>
    </row>
    <row r="28" spans="1:9" x14ac:dyDescent="0.2">
      <c r="A28" t="s">
        <v>15</v>
      </c>
      <c r="B28" t="s">
        <v>9</v>
      </c>
      <c r="C28" t="s">
        <v>12</v>
      </c>
      <c r="D28">
        <v>65</v>
      </c>
      <c r="E28">
        <v>250</v>
      </c>
      <c r="F28">
        <v>0.20277385364321221</v>
      </c>
      <c r="G28">
        <v>0.64500000000000002</v>
      </c>
      <c r="H28">
        <v>0.44222614635678781</v>
      </c>
    </row>
    <row r="29" spans="1:9" x14ac:dyDescent="0.2">
      <c r="A29" t="s">
        <v>15</v>
      </c>
      <c r="B29" t="s">
        <v>13</v>
      </c>
      <c r="C29" t="s">
        <v>12</v>
      </c>
      <c r="D29">
        <v>35</v>
      </c>
      <c r="E29">
        <v>500</v>
      </c>
      <c r="F29">
        <v>0.22562936949431461</v>
      </c>
      <c r="G29">
        <v>0.627</v>
      </c>
      <c r="H29">
        <v>0.40137063050568539</v>
      </c>
      <c r="I29">
        <f>AVERAGE(H29:H30)</f>
        <v>0.4079389917619855</v>
      </c>
    </row>
    <row r="30" spans="1:9" x14ac:dyDescent="0.2">
      <c r="A30" t="s">
        <v>15</v>
      </c>
      <c r="B30" t="s">
        <v>13</v>
      </c>
      <c r="C30" t="s">
        <v>12</v>
      </c>
      <c r="D30">
        <v>65</v>
      </c>
      <c r="E30">
        <v>250</v>
      </c>
      <c r="F30">
        <v>0.21249264698171441</v>
      </c>
      <c r="G30">
        <v>0.627</v>
      </c>
      <c r="H30">
        <v>0.41450735301828562</v>
      </c>
    </row>
    <row r="31" spans="1:9" x14ac:dyDescent="0.2">
      <c r="A31" t="s">
        <v>8</v>
      </c>
      <c r="B31" t="s">
        <v>9</v>
      </c>
      <c r="C31" t="s">
        <v>11</v>
      </c>
      <c r="D31">
        <v>15</v>
      </c>
      <c r="E31">
        <v>500</v>
      </c>
      <c r="F31">
        <v>3.1702172981977802E-3</v>
      </c>
      <c r="G31">
        <v>0.99900000000000011</v>
      </c>
      <c r="H31">
        <v>0.99582978270180234</v>
      </c>
    </row>
    <row r="32" spans="1:9" x14ac:dyDescent="0.2">
      <c r="A32" t="s">
        <v>8</v>
      </c>
      <c r="B32" t="s">
        <v>9</v>
      </c>
      <c r="C32" t="s">
        <v>11</v>
      </c>
      <c r="D32">
        <v>35</v>
      </c>
      <c r="E32">
        <v>250</v>
      </c>
      <c r="F32">
        <v>2.5712036526980022E-3</v>
      </c>
      <c r="G32">
        <v>0.99900000000000011</v>
      </c>
      <c r="H32">
        <v>0.99642879634730208</v>
      </c>
      <c r="I32" s="2">
        <v>0.996</v>
      </c>
    </row>
    <row r="33" spans="1:9" x14ac:dyDescent="0.2">
      <c r="A33" t="s">
        <v>8</v>
      </c>
      <c r="B33" t="s">
        <v>9</v>
      </c>
      <c r="C33" t="s">
        <v>11</v>
      </c>
      <c r="D33">
        <v>65</v>
      </c>
      <c r="E33">
        <v>100</v>
      </c>
      <c r="F33">
        <v>2.6598983395186302E-3</v>
      </c>
      <c r="G33">
        <v>0.99900000000000011</v>
      </c>
      <c r="H33">
        <v>0.99634010166048148</v>
      </c>
    </row>
    <row r="34" spans="1:9" x14ac:dyDescent="0.2">
      <c r="A34" t="s">
        <v>8</v>
      </c>
      <c r="B34" t="s">
        <v>13</v>
      </c>
      <c r="C34" t="s">
        <v>11</v>
      </c>
      <c r="D34">
        <v>15</v>
      </c>
      <c r="E34">
        <v>500</v>
      </c>
      <c r="F34">
        <v>4.5374594650643557E-2</v>
      </c>
      <c r="G34">
        <v>0.98</v>
      </c>
      <c r="H34">
        <v>0.93462540534935645</v>
      </c>
    </row>
    <row r="35" spans="1:9" x14ac:dyDescent="0.2">
      <c r="A35" t="s">
        <v>8</v>
      </c>
      <c r="B35" t="s">
        <v>13</v>
      </c>
      <c r="C35" t="s">
        <v>11</v>
      </c>
      <c r="D35">
        <v>35</v>
      </c>
      <c r="E35">
        <v>250</v>
      </c>
      <c r="F35">
        <v>3.9748170372696033E-2</v>
      </c>
      <c r="G35">
        <v>0.98</v>
      </c>
      <c r="H35">
        <v>0.94025182962730391</v>
      </c>
      <c r="I35" s="2">
        <v>0.94</v>
      </c>
    </row>
    <row r="36" spans="1:9" x14ac:dyDescent="0.2">
      <c r="A36" t="s">
        <v>8</v>
      </c>
      <c r="B36" t="s">
        <v>13</v>
      </c>
      <c r="C36" t="s">
        <v>11</v>
      </c>
      <c r="D36">
        <v>65</v>
      </c>
      <c r="E36">
        <v>100</v>
      </c>
      <c r="F36">
        <v>4.2737974826530099E-2</v>
      </c>
      <c r="G36">
        <v>0.98</v>
      </c>
      <c r="H36">
        <v>0.9372620251734699</v>
      </c>
    </row>
    <row r="37" spans="1:9" x14ac:dyDescent="0.2">
      <c r="A37" t="s">
        <v>14</v>
      </c>
      <c r="B37" t="s">
        <v>9</v>
      </c>
      <c r="C37" t="s">
        <v>11</v>
      </c>
      <c r="D37">
        <v>15</v>
      </c>
      <c r="E37">
        <v>500</v>
      </c>
      <c r="F37">
        <v>5.134894390753976E-2</v>
      </c>
      <c r="G37">
        <v>0.96200000000000008</v>
      </c>
      <c r="H37">
        <v>0.91065105609246033</v>
      </c>
    </row>
    <row r="38" spans="1:9" x14ac:dyDescent="0.2">
      <c r="A38" t="s">
        <v>14</v>
      </c>
      <c r="B38" t="s">
        <v>9</v>
      </c>
      <c r="C38" t="s">
        <v>11</v>
      </c>
      <c r="D38">
        <v>35</v>
      </c>
      <c r="E38">
        <v>250</v>
      </c>
      <c r="F38">
        <v>4.8250116589072523E-2</v>
      </c>
      <c r="G38">
        <v>0.96200000000000008</v>
      </c>
      <c r="H38">
        <v>0.91374988341092755</v>
      </c>
      <c r="I38" s="2">
        <v>0.91</v>
      </c>
    </row>
    <row r="39" spans="1:9" x14ac:dyDescent="0.2">
      <c r="A39" t="s">
        <v>14</v>
      </c>
      <c r="B39" t="s">
        <v>9</v>
      </c>
      <c r="C39" t="s">
        <v>11</v>
      </c>
      <c r="D39">
        <v>65</v>
      </c>
      <c r="E39">
        <v>100</v>
      </c>
      <c r="F39">
        <v>5.2571279967091378E-2</v>
      </c>
      <c r="G39">
        <v>0.96200000000000008</v>
      </c>
      <c r="H39">
        <v>0.90942872003290876</v>
      </c>
    </row>
    <row r="40" spans="1:9" x14ac:dyDescent="0.2">
      <c r="A40" t="s">
        <v>14</v>
      </c>
      <c r="B40" t="s">
        <v>13</v>
      </c>
      <c r="C40" t="s">
        <v>11</v>
      </c>
      <c r="D40">
        <v>15</v>
      </c>
      <c r="E40">
        <v>500</v>
      </c>
      <c r="F40">
        <v>0.25634193374663172</v>
      </c>
      <c r="G40">
        <v>0.80599999999999994</v>
      </c>
      <c r="H40">
        <v>0.54965806625336822</v>
      </c>
    </row>
    <row r="41" spans="1:9" x14ac:dyDescent="0.2">
      <c r="A41" t="s">
        <v>14</v>
      </c>
      <c r="B41" t="s">
        <v>13</v>
      </c>
      <c r="C41" t="s">
        <v>11</v>
      </c>
      <c r="D41">
        <v>35</v>
      </c>
      <c r="E41">
        <v>250</v>
      </c>
      <c r="F41">
        <v>0.23220089179435491</v>
      </c>
      <c r="G41">
        <v>0.80599999999999994</v>
      </c>
      <c r="H41">
        <v>0.57379910820564506</v>
      </c>
      <c r="I41" s="2">
        <v>0.56000000000000005</v>
      </c>
    </row>
    <row r="42" spans="1:9" x14ac:dyDescent="0.2">
      <c r="A42" t="s">
        <v>14</v>
      </c>
      <c r="B42" t="s">
        <v>13</v>
      </c>
      <c r="C42" t="s">
        <v>11</v>
      </c>
      <c r="D42">
        <v>65</v>
      </c>
      <c r="E42">
        <v>100</v>
      </c>
      <c r="F42">
        <v>0.25230581668283858</v>
      </c>
      <c r="G42">
        <v>0.80599999999999994</v>
      </c>
      <c r="H42">
        <v>0.55369418331716136</v>
      </c>
    </row>
    <row r="43" spans="1:9" x14ac:dyDescent="0.2">
      <c r="A43" t="s">
        <v>15</v>
      </c>
      <c r="B43" t="s">
        <v>9</v>
      </c>
      <c r="C43" t="s">
        <v>11</v>
      </c>
      <c r="D43">
        <v>15</v>
      </c>
      <c r="E43">
        <v>500</v>
      </c>
      <c r="F43">
        <v>0.35877792011436271</v>
      </c>
      <c r="G43">
        <v>0.64500000000000002</v>
      </c>
      <c r="H43">
        <v>0.2862220798856373</v>
      </c>
    </row>
    <row r="44" spans="1:9" x14ac:dyDescent="0.2">
      <c r="A44" t="s">
        <v>15</v>
      </c>
      <c r="B44" t="s">
        <v>9</v>
      </c>
      <c r="C44" t="s">
        <v>11</v>
      </c>
      <c r="D44">
        <v>35</v>
      </c>
      <c r="E44">
        <v>250</v>
      </c>
      <c r="F44">
        <v>0.33022108390583321</v>
      </c>
      <c r="G44">
        <v>0.64500000000000002</v>
      </c>
      <c r="H44">
        <v>0.31477891609416692</v>
      </c>
      <c r="I44" s="2">
        <v>0.3</v>
      </c>
    </row>
    <row r="45" spans="1:9" x14ac:dyDescent="0.2">
      <c r="A45" t="s">
        <v>15</v>
      </c>
      <c r="B45" t="s">
        <v>9</v>
      </c>
      <c r="C45" t="s">
        <v>11</v>
      </c>
      <c r="D45">
        <v>65</v>
      </c>
      <c r="E45">
        <v>100</v>
      </c>
      <c r="F45">
        <v>0.35803597215573352</v>
      </c>
      <c r="G45">
        <v>0.64500000000000002</v>
      </c>
      <c r="H45">
        <v>0.28696402784426661</v>
      </c>
    </row>
    <row r="46" spans="1:9" x14ac:dyDescent="0.2">
      <c r="A46" t="s">
        <v>15</v>
      </c>
      <c r="B46" t="s">
        <v>13</v>
      </c>
      <c r="C46" t="s">
        <v>11</v>
      </c>
      <c r="D46">
        <v>15</v>
      </c>
      <c r="E46">
        <v>500</v>
      </c>
      <c r="F46">
        <v>0.38195830223755289</v>
      </c>
      <c r="G46">
        <v>0.627</v>
      </c>
      <c r="H46">
        <v>0.24504169776244711</v>
      </c>
    </row>
    <row r="47" spans="1:9" x14ac:dyDescent="0.2">
      <c r="A47" t="s">
        <v>15</v>
      </c>
      <c r="B47" t="s">
        <v>13</v>
      </c>
      <c r="C47" t="s">
        <v>11</v>
      </c>
      <c r="D47">
        <v>35</v>
      </c>
      <c r="E47">
        <v>250</v>
      </c>
      <c r="F47">
        <v>0.34653467351917239</v>
      </c>
      <c r="G47">
        <v>0.627</v>
      </c>
      <c r="H47">
        <v>0.28046532648082761</v>
      </c>
      <c r="I47" s="2">
        <v>0.26</v>
      </c>
    </row>
    <row r="48" spans="1:9" x14ac:dyDescent="0.2">
      <c r="A48" t="s">
        <v>15</v>
      </c>
      <c r="B48" t="s">
        <v>13</v>
      </c>
      <c r="C48" t="s">
        <v>11</v>
      </c>
      <c r="D48">
        <v>65</v>
      </c>
      <c r="E48">
        <v>100</v>
      </c>
      <c r="F48">
        <v>0.3756326699884997</v>
      </c>
      <c r="G48">
        <v>0.627</v>
      </c>
      <c r="H48">
        <v>0.2513673300115003</v>
      </c>
    </row>
  </sheetData>
  <autoFilter ref="A1:H48" xr:uid="{00000000-0001-0000-0000-000000000000}">
    <sortState xmlns:xlrd2="http://schemas.microsoft.com/office/spreadsheetml/2017/richdata2" ref="A2:H48">
      <sortCondition ref="C1:C48"/>
    </sortState>
  </autoFilter>
  <sortState xmlns:xlrd2="http://schemas.microsoft.com/office/spreadsheetml/2017/richdata2" ref="A2:I48">
    <sortCondition ref="C2:C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 Denwood</cp:lastModifiedBy>
  <dcterms:created xsi:type="dcterms:W3CDTF">2025-07-14T12:01:13Z</dcterms:created>
  <dcterms:modified xsi:type="dcterms:W3CDTF">2025-07-14T14:24:20Z</dcterms:modified>
</cp:coreProperties>
</file>